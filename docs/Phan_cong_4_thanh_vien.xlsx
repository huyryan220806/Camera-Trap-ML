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b4602f401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ac04f1cda9ba4223"/>
    <x:sheet xmlns:r="http://schemas.openxmlformats.org/officeDocument/2006/relationships" name="Cong viec" sheetId="2" r:id="R679fe280d25a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5">
    <x:font>
      <x:sz val="11"/>
      <x:name val="Carlito"/>
    </x:font>
    <x:font>
      <x:sz val="11"/>
      <x:color rgb="FF202124"/>
      <x:name val="Arial"/>
    </x:font>
    <x:font>
      <x:b/>
      <x:sz val="16"/>
      <x:color rgb="FF000000"/>
      <x:name val="Arial"/>
    </x:font>
    <x:font>
      <x:b/>
      <x:sz val="11"/>
      <x:color rgb="FFFFFFFF"/>
      <x:name val="Arial"/>
    </x:font>
    <x:font>
      <x:b/>
      <x:sz val="11"/>
      <x:color rgb="FF20212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74151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235E30"/>
      </x:font>
      <x:fill>
        <x:patternFill patternType="solid">
          <x:bgColor rgb="FFE2F0D9"/>
        </x:patternFill>
      </x:fill>
    </x:dxf>
    <x:dxf>
      <x:font>
        <x:color rgb="FF9C2525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9d45cb6fb40ee" /><Relationship Type="http://schemas.openxmlformats.org/officeDocument/2006/relationships/theme" Target="/xl/theme/theme1.xml" Id="R57130552af4a4cf2" /><Relationship Type="http://schemas.openxmlformats.org/officeDocument/2006/relationships/sharedStrings" Target="/xl/sharedStrings.xml" Id="R90a3f2611ab84578" /><Relationship Type="http://schemas.openxmlformats.org/officeDocument/2006/relationships/worksheet" Target="/xl/worksheets/sheet1.xml" Id="Rac04f1cda9ba4223" /><Relationship Type="http://schemas.openxmlformats.org/officeDocument/2006/relationships/worksheet" Target="/xl/worksheets/sheet2.xml" Id="R679fe280d25a43f5" /></Relationships>
</file>

<file path=xl/tables/table1.xml><?xml version="1.0" encoding="utf-8"?>
<x:table xmlns:x="http://schemas.openxmlformats.org/spreadsheetml/2006/main" id="1" name="CongViecTable" displayName="CongViecTable" ref="A6:N30" headerRowCount="1" totalsRowCount="0" totalsRowShown="0">
  <x:autoFilter ref="A6:N30"/>
  <x:tableColumns count="14">
    <x:tableColumn id="1" name="Mã việc"/>
    <x:tableColumn id="2" name="Tuần"/>
    <x:tableColumn id="3" name="Công việc"/>
    <x:tableColumn id="4" name="Chủ trì"/>
    <x:tableColumn id="5" name="Kiểm tra"/>
    <x:tableColumn id="6" name="Phụ thuộc"/>
    <x:tableColumn id="7" name="Giờ dự kiến"/>
    <x:tableColumn id="8" name="Ngày hạn trong tuần"/>
    <x:tableColumn id="9" name="Hạn theo lịch"/>
    <x:tableColumn id="10" name="Sản phẩm bàn giao"/>
    <x:tableColumn id="11" name="Tiêu chí hoàn thành"/>
    <x:tableColumn id="12" name="Trạng thái"/>
    <x:tableColumn id="13" name="Liên kết bàn giao"/>
    <x:tableColumn id="14" name="Vướng mắc / ghi chú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064547b86f45c7" /></Relationships>
</file>

<file path=xl/worksheets/sheet1.xml><?xml version="1.0" encoding="utf-8"?>
<x:worksheet xmlns:x="http://schemas.openxmlformats.org/spreadsheetml/2006/main">
  <x:sheetPr>
    <x:tabColor rgb="FF374151"/>
  </x:sheetPr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28" hidden="0" customWidth="1"/>
    <x:col min="4" max="4" width="12" hidden="0" customWidth="1"/>
    <x:col min="5" max="5" width="14" hidden="0" customWidth="1"/>
    <x:col min="6" max="6" width="12" hidden="0" customWidth="1"/>
    <x:col min="7" max="7" width="13" hidden="0" customWidth="1"/>
    <x:col min="8" max="8" width="12" hidden="0" customWidth="1"/>
    <x:col min="9" max="9" width="15" hidden="0" customWidth="1"/>
    <x:col min="10" max="10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4" t="str">
        <x:v>Phân công CameraTrapML trong 6 tuần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Ngày bắt đầu</x:v>
      </x:c>
      <x:c r="B4" s="6"/>
      <x:c r="C4" s="7" t="str">
        <x:v>Điền ngày bắt đầu để tính hạn công việc.</x:v>
      </x:c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11" t="str">
        <x:v>Mã</x:v>
      </x:c>
      <x:c r="B6" s="11" t="str">
        <x:v>Tên thành viên</x:v>
      </x:c>
      <x:c r="C6" s="11" t="str">
        <x:v>Vai trò chính</x:v>
      </x:c>
      <x:c r="D6" s="11" t="str">
        <x:v>Gói việc</x:v>
      </x:c>
      <x:c r="E6" s="11" t="str">
        <x:v>Giờ dự kiến</x:v>
      </x:c>
      <x:c r="F6" s="2"/>
      <x:c r="G6" s="2"/>
      <x:c r="H6" s="2"/>
      <x:c r="I6" s="2"/>
      <x:c r="J6" s="2"/>
    </x:row>
    <x:row r="7" ht="42" customHeight="1">
      <x:c r="A7" s="2" t="str">
        <x:v>TV1</x:v>
      </x:c>
      <x:c r="B7" s="5" t="str">
        <x:v>Thành viên 1</x:v>
      </x:c>
      <x:c r="C7" s="12" t="str">
        <x:v>Dữ liệu và điều phối</x:v>
      </x:c>
      <x:c r="D7" s="2" t="n">
        <x:f>COUNTIFS('Cong viec'!$D$7:$D$30,A7)</x:f>
        <x:v>6</x:v>
      </x:c>
      <x:c r="E7" s="2" t="n">
        <x:f>SUMIFS('Cong viec'!$G$7:$G$30,'Cong viec'!$D$7:$D$30,A7)</x:f>
        <x:v>62</x:v>
      </x:c>
      <x:c r="F7" s="2"/>
      <x:c r="G7" s="2"/>
      <x:c r="H7" s="2"/>
      <x:c r="I7" s="2"/>
      <x:c r="J7" s="2"/>
    </x:row>
    <x:row r="8" ht="42" customHeight="1">
      <x:c r="A8" s="2" t="str">
        <x:v>TV2</x:v>
      </x:c>
      <x:c r="B8" s="5" t="str">
        <x:v>Thành viên 2</x:v>
      </x:c>
      <x:c r="C8" s="12" t="str">
        <x:v>Baseline và đánh giá</x:v>
      </x:c>
      <x:c r="D8" s="2" t="n">
        <x:f>COUNTIFS('Cong viec'!$D$7:$D$30,A8)</x:f>
        <x:v>6</x:v>
      </x:c>
      <x:c r="E8" s="2" t="n">
        <x:f>SUMIFS('Cong viec'!$G$7:$G$30,'Cong viec'!$D$7:$D$30,A8)</x:f>
        <x:v>66</x:v>
      </x:c>
      <x:c r="F8" s="2"/>
      <x:c r="G8" s="2"/>
      <x:c r="H8" s="2"/>
      <x:c r="I8" s="2"/>
      <x:c r="J8" s="2"/>
    </x:row>
    <x:row r="9" ht="42" customHeight="1">
      <x:c r="A9" s="2" t="str">
        <x:v>TV3</x:v>
      </x:c>
      <x:c r="B9" s="5" t="str">
        <x:v>Thành viên 3</x:v>
      </x:c>
      <x:c r="C9" s="12" t="str">
        <x:v>Mô hình vùng cắt</x:v>
      </x:c>
      <x:c r="D9" s="2" t="n">
        <x:f>COUNTIFS('Cong viec'!$D$7:$D$30,A9)</x:f>
        <x:v>6</x:v>
      </x:c>
      <x:c r="E9" s="2" t="n">
        <x:f>SUMIFS('Cong viec'!$G$7:$G$30,'Cong viec'!$D$7:$D$30,A9)</x:f>
        <x:v>64</x:v>
      </x:c>
      <x:c r="F9" s="2"/>
      <x:c r="G9" s="2"/>
      <x:c r="H9" s="2"/>
      <x:c r="I9" s="2"/>
      <x:c r="J9" s="2"/>
    </x:row>
    <x:row r="10" ht="42" customHeight="1">
      <x:c r="A10" s="2" t="str">
        <x:v>TV4</x:v>
      </x:c>
      <x:c r="B10" s="5" t="str">
        <x:v>Thành viên 4</x:v>
      </x:c>
      <x:c r="C10" s="12" t="str">
        <x:v>Ứng dụng và tích hợp</x:v>
      </x:c>
      <x:c r="D10" s="2" t="n">
        <x:f>COUNTIFS('Cong viec'!$D$7:$D$30,A10)</x:f>
        <x:v>6</x:v>
      </x:c>
      <x:c r="E10" s="2" t="n">
        <x:f>SUMIFS('Cong viec'!$G$7:$G$30,'Cong viec'!$D$7:$D$30,A10)</x:f>
        <x:v>62</x:v>
      </x:c>
      <x:c r="F10" s="2"/>
      <x:c r="G10" s="2"/>
      <x:c r="H10" s="2"/>
      <x:c r="I10" s="2"/>
      <x:c r="J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5" customHeight="1">
      <x:c r="A12" s="2" t="str">
        <x:v>Tổng giờ dự kiến</x:v>
      </x:c>
      <x:c r="B12" s="2" t="n">
        <x:f>SUM(E7:E10)</x:f>
        <x:v>254</x:v>
      </x:c>
      <x:c r="C12" s="7" t="str">
        <x:v>Giờ công, gồm họp và kiểm tra; không tính GPU chạy tự động.</x:v>
      </x:c>
      <x:c r="D12" s="2"/>
      <x:c r="E12" s="2"/>
      <x:c r="F12" s="2"/>
      <x:c r="G12" s="2"/>
      <x:c r="H12" s="2"/>
      <x:c r="I12" s="2"/>
      <x:c r="J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4" t="str">
        <x:v>Khối lượng và nghiệm thu theo tuần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36" customHeight="1">
      <x:c r="A16" s="11" t="str">
        <x:v>Tuần</x:v>
      </x:c>
      <x:c r="B16" s="11" t="str">
        <x:v>Mục tiêu</x:v>
      </x:c>
      <x:c r="C16" s="11" t="str">
        <x:v>TV1 giờ</x:v>
      </x:c>
      <x:c r="D16" s="11" t="str">
        <x:v>TV2 giờ</x:v>
      </x:c>
      <x:c r="E16" s="11" t="str">
        <x:v>TV3 giờ</x:v>
      </x:c>
      <x:c r="F16" s="11" t="str">
        <x:v>TV4 giờ</x:v>
      </x:c>
      <x:c r="G16" s="11" t="str">
        <x:v>Tổng giờ</x:v>
      </x:c>
      <x:c r="H16" s="11" t="str">
        <x:v>Gói việc</x:v>
      </x:c>
      <x:c r="I16" s="11" t="str">
        <x:v>Đã nghiệm thu</x:v>
      </x:c>
      <x:c r="J16" s="11" t="str">
        <x:v>Tỷ lệ nghiệm thu</x:v>
      </x:c>
    </x:row>
    <x:row r="17" ht="46" customHeight="1">
      <x:c r="A17" s="2" t="n">
        <x:v>1</x:v>
      </x:c>
      <x:c r="B17" s="12" t="str">
        <x:v>Khảo sát và chốt dữ liệu</x:v>
      </x:c>
      <x:c r="C17" s="2" t="n">
        <x:f>SUMIFS('Cong viec'!$G$7:$G$30,'Cong viec'!$B$7:$B$30,$A17,'Cong viec'!$D$7:$D$30,"TV1")</x:f>
        <x:v>10</x:v>
      </x:c>
      <x:c r="D17" s="2" t="n">
        <x:f>SUMIFS('Cong viec'!$G$7:$G$30,'Cong viec'!$B$7:$B$30,$A17,'Cong viec'!$D$7:$D$30,"TV2")</x:f>
        <x:v>10</x:v>
      </x:c>
      <x:c r="E17" s="2" t="n">
        <x:f>SUMIFS('Cong viec'!$G$7:$G$30,'Cong viec'!$B$7:$B$30,$A17,'Cong viec'!$D$7:$D$30,"TV3")</x:f>
        <x:v>10</x:v>
      </x:c>
      <x:c r="F17" s="2" t="n">
        <x:f>SUMIFS('Cong viec'!$G$7:$G$30,'Cong viec'!$B$7:$B$30,$A17,'Cong viec'!$D$7:$D$30,"TV4")</x:f>
        <x:v>10</x:v>
      </x:c>
      <x:c r="G17" s="2" t="n">
        <x:f>SUM(C17:F17)</x:f>
        <x:v>40</x:v>
      </x:c>
      <x:c r="H17" s="2" t="n">
        <x:f>COUNTIFS('Cong viec'!$B$7:$B$30,A17)</x:f>
        <x:v>4</x:v>
      </x:c>
      <x:c r="I17" s="2" t="n">
        <x:f>COUNTIFS('Cong viec'!$B$7:$B$30,A17,'Cong viec'!$L$7:$L$30,"Đã nghiệm thu")</x:f>
        <x:v>0</x:v>
      </x:c>
      <x:c r="J17" s="13" t="n">
        <x:f>IF(H17=0,"",I17/H17)</x:f>
        <x:v>0</x:v>
      </x:c>
    </x:row>
    <x:row r="18" ht="46" customHeight="1">
      <x:c r="A18" s="2" t="n">
        <x:v>2</x:v>
      </x:c>
      <x:c r="B18" s="12" t="str">
        <x:v>Hoàn thiện pipeline và baseline</x:v>
      </x:c>
      <x:c r="C18" s="2" t="n">
        <x:f>SUMIFS('Cong viec'!$G$7:$G$30,'Cong viec'!$B$7:$B$30,$A18,'Cong viec'!$D$7:$D$30,"TV1")</x:f>
        <x:v>12</x:v>
      </x:c>
      <x:c r="D18" s="2" t="n">
        <x:f>SUMIFS('Cong viec'!$G$7:$G$30,'Cong viec'!$B$7:$B$30,$A18,'Cong viec'!$D$7:$D$30,"TV2")</x:f>
        <x:v>12</x:v>
      </x:c>
      <x:c r="E18" s="2" t="n">
        <x:f>SUMIFS('Cong viec'!$G$7:$G$30,'Cong viec'!$B$7:$B$30,$A18,'Cong viec'!$D$7:$D$30,"TV3")</x:f>
        <x:v>12</x:v>
      </x:c>
      <x:c r="F18" s="2" t="n">
        <x:f>SUMIFS('Cong viec'!$G$7:$G$30,'Cong viec'!$B$7:$B$30,$A18,'Cong viec'!$D$7:$D$30,"TV4")</x:f>
        <x:v>10</x:v>
      </x:c>
      <x:c r="G18" s="2" t="n">
        <x:f>SUM(C18:F18)</x:f>
        <x:v>46</x:v>
      </x:c>
      <x:c r="H18" s="2" t="n">
        <x:f>COUNTIFS('Cong viec'!$B$7:$B$30,A18)</x:f>
        <x:v>4</x:v>
      </x:c>
      <x:c r="I18" s="2" t="n">
        <x:f>COUNTIFS('Cong viec'!$B$7:$B$30,A18,'Cong viec'!$L$7:$L$30,"Đã nghiệm thu")</x:f>
        <x:v>0</x:v>
      </x:c>
      <x:c r="J18" s="13" t="n">
        <x:f>IF(H18=0,"",I18/H18)</x:f>
        <x:v>0</x:v>
      </x:c>
    </x:row>
    <x:row r="19" ht="46" customHeight="1">
      <x:c r="A19" s="2" t="n">
        <x:v>3</x:v>
      </x:c>
      <x:c r="B19" s="12" t="str">
        <x:v>So sánh toàn ảnh và vùng cắt</x:v>
      </x:c>
      <x:c r="C19" s="2" t="n">
        <x:f>SUMIFS('Cong viec'!$G$7:$G$30,'Cong viec'!$B$7:$B$30,$A19,'Cong viec'!$D$7:$D$30,"TV1")</x:f>
        <x:v>10</x:v>
      </x:c>
      <x:c r="D19" s="2" t="n">
        <x:f>SUMIFS('Cong viec'!$G$7:$G$30,'Cong viec'!$B$7:$B$30,$A19,'Cong viec'!$D$7:$D$30,"TV2")</x:f>
        <x:v>12</x:v>
      </x:c>
      <x:c r="E19" s="2" t="n">
        <x:f>SUMIFS('Cong viec'!$G$7:$G$30,'Cong viec'!$B$7:$B$30,$A19,'Cong viec'!$D$7:$D$30,"TV3")</x:f>
        <x:v>12</x:v>
      </x:c>
      <x:c r="F19" s="2" t="n">
        <x:f>SUMIFS('Cong viec'!$G$7:$G$30,'Cong viec'!$B$7:$B$30,$A19,'Cong viec'!$D$7:$D$30,"TV4")</x:f>
        <x:v>10</x:v>
      </x:c>
      <x:c r="G19" s="2" t="n">
        <x:f>SUM(C19:F19)</x:f>
        <x:v>44</x:v>
      </x:c>
      <x:c r="H19" s="2" t="n">
        <x:f>COUNTIFS('Cong viec'!$B$7:$B$30,A19)</x:f>
        <x:v>4</x:v>
      </x:c>
      <x:c r="I19" s="2" t="n">
        <x:f>COUNTIFS('Cong viec'!$B$7:$B$30,A19,'Cong viec'!$L$7:$L$30,"Đã nghiệm thu")</x:f>
        <x:v>0</x:v>
      </x:c>
      <x:c r="J19" s="13" t="n">
        <x:f>IF(H19=0,"",I19/H19)</x:f>
        <x:v>0</x:v>
      </x:c>
    </x:row>
    <x:row r="20" ht="46" customHeight="1">
      <x:c r="A20" s="2" t="n">
        <x:v>4</x:v>
      </x:c>
      <x:c r="B20" s="12" t="str">
        <x:v>Chốt mô hình và đánh giá</x:v>
      </x:c>
      <x:c r="C20" s="2" t="n">
        <x:f>SUMIFS('Cong viec'!$G$7:$G$30,'Cong viec'!$B$7:$B$30,$A20,'Cong viec'!$D$7:$D$30,"TV1")</x:f>
        <x:v>10</x:v>
      </x:c>
      <x:c r="D20" s="2" t="n">
        <x:f>SUMIFS('Cong viec'!$G$7:$G$30,'Cong viec'!$B$7:$B$30,$A20,'Cong viec'!$D$7:$D$30,"TV2")</x:f>
        <x:v>12</x:v>
      </x:c>
      <x:c r="E20" s="2" t="n">
        <x:f>SUMIFS('Cong viec'!$G$7:$G$30,'Cong viec'!$B$7:$B$30,$A20,'Cong viec'!$D$7:$D$30,"TV3")</x:f>
        <x:v>10</x:v>
      </x:c>
      <x:c r="F20" s="2" t="n">
        <x:f>SUMIFS('Cong viec'!$G$7:$G$30,'Cong viec'!$B$7:$B$30,$A20,'Cong viec'!$D$7:$D$30,"TV4")</x:f>
        <x:v>10</x:v>
      </x:c>
      <x:c r="G20" s="2" t="n">
        <x:f>SUM(C20:F20)</x:f>
        <x:v>42</x:v>
      </x:c>
      <x:c r="H20" s="2" t="n">
        <x:f>COUNTIFS('Cong viec'!$B$7:$B$30,A20)</x:f>
        <x:v>4</x:v>
      </x:c>
      <x:c r="I20" s="2" t="n">
        <x:f>COUNTIFS('Cong viec'!$B$7:$B$30,A20,'Cong viec'!$L$7:$L$30,"Đã nghiệm thu")</x:f>
        <x:v>0</x:v>
      </x:c>
      <x:c r="J20" s="13" t="n">
        <x:f>IF(H20=0,"",I20/H20)</x:f>
        <x:v>0</x:v>
      </x:c>
    </x:row>
    <x:row r="21" ht="46" customHeight="1">
      <x:c r="A21" s="2" t="n">
        <x:v>5</x:v>
      </x:c>
      <x:c r="B21" s="12" t="str">
        <x:v>Hoàn thiện ứng dụng và báo cáo</x:v>
      </x:c>
      <x:c r="C21" s="2" t="n">
        <x:f>SUMIFS('Cong viec'!$G$7:$G$30,'Cong viec'!$B$7:$B$30,$A21,'Cong viec'!$D$7:$D$30,"TV1")</x:f>
        <x:v>10</x:v>
      </x:c>
      <x:c r="D21" s="2" t="n">
        <x:f>SUMIFS('Cong viec'!$G$7:$G$30,'Cong viec'!$B$7:$B$30,$A21,'Cong viec'!$D$7:$D$30,"TV2")</x:f>
        <x:v>10</x:v>
      </x:c>
      <x:c r="E21" s="2" t="n">
        <x:f>SUMIFS('Cong viec'!$G$7:$G$30,'Cong viec'!$B$7:$B$30,$A21,'Cong viec'!$D$7:$D$30,"TV3")</x:f>
        <x:v>10</x:v>
      </x:c>
      <x:c r="F21" s="2" t="n">
        <x:f>SUMIFS('Cong viec'!$G$7:$G$30,'Cong viec'!$B$7:$B$30,$A21,'Cong viec'!$D$7:$D$30,"TV4")</x:f>
        <x:v>12</x:v>
      </x:c>
      <x:c r="G21" s="2" t="n">
        <x:f>SUM(C21:F21)</x:f>
        <x:v>42</x:v>
      </x:c>
      <x:c r="H21" s="2" t="n">
        <x:f>COUNTIFS('Cong viec'!$B$7:$B$30,A21)</x:f>
        <x:v>4</x:v>
      </x:c>
      <x:c r="I21" s="2" t="n">
        <x:f>COUNTIFS('Cong viec'!$B$7:$B$30,A21,'Cong viec'!$L$7:$L$30,"Đã nghiệm thu")</x:f>
        <x:v>0</x:v>
      </x:c>
      <x:c r="J21" s="13" t="n">
        <x:f>IF(H21=0,"",I21/H21)</x:f>
        <x:v>0</x:v>
      </x:c>
    </x:row>
    <x:row r="22" ht="46" customHeight="1">
      <x:c r="A22" s="2" t="n">
        <x:v>6</x:v>
      </x:c>
      <x:c r="B22" s="12" t="str">
        <x:v>Đóng gói và tập bảo vệ</x:v>
      </x:c>
      <x:c r="C22" s="2" t="n">
        <x:f>SUMIFS('Cong viec'!$G$7:$G$30,'Cong viec'!$B$7:$B$30,$A22,'Cong viec'!$D$7:$D$30,"TV1")</x:f>
        <x:v>10</x:v>
      </x:c>
      <x:c r="D22" s="2" t="n">
        <x:f>SUMIFS('Cong viec'!$G$7:$G$30,'Cong viec'!$B$7:$B$30,$A22,'Cong viec'!$D$7:$D$30,"TV2")</x:f>
        <x:v>10</x:v>
      </x:c>
      <x:c r="E22" s="2" t="n">
        <x:f>SUMIFS('Cong viec'!$G$7:$G$30,'Cong viec'!$B$7:$B$30,$A22,'Cong viec'!$D$7:$D$30,"TV3")</x:f>
        <x:v>10</x:v>
      </x:c>
      <x:c r="F22" s="2" t="n">
        <x:f>SUMIFS('Cong viec'!$G$7:$G$30,'Cong viec'!$B$7:$B$30,$A22,'Cong viec'!$D$7:$D$30,"TV4")</x:f>
        <x:v>10</x:v>
      </x:c>
      <x:c r="G22" s="2" t="n">
        <x:f>SUM(C22:F22)</x:f>
        <x:v>40</x:v>
      </x:c>
      <x:c r="H22" s="2" t="n">
        <x:f>COUNTIFS('Cong viec'!$B$7:$B$30,A22)</x:f>
        <x:v>4</x:v>
      </x:c>
      <x:c r="I22" s="2" t="n">
        <x:f>COUNTIFS('Cong viec'!$B$7:$B$30,A22,'Cong viec'!$L$7:$L$30,"Đã nghiệm thu")</x:f>
        <x:v>0</x:v>
      </x:c>
      <x:c r="J22" s="13" t="n">
        <x:f>IF(H22=0,"",I22/H22)</x:f>
        <x:v>0</x:v>
      </x:c>
    </x:row>
    <x:row r="23" ht="25" customHeight="1">
      <x:c r="A23" s="16" t="str">
        <x:v>Tổng</x:v>
      </x:c>
      <x:c r="B23" s="16"/>
      <x:c r="C23" s="16" t="n">
        <x:f>SUM(C17:C22)</x:f>
        <x:v>62</x:v>
      </x:c>
      <x:c r="D23" s="16" t="n">
        <x:f>SUM(D17:D22)</x:f>
        <x:v>66</x:v>
      </x:c>
      <x:c r="E23" s="16" t="n">
        <x:f>SUM(E17:E22)</x:f>
        <x:v>64</x:v>
      </x:c>
      <x:c r="F23" s="16" t="n">
        <x:f>SUM(F17:F22)</x:f>
        <x:v>62</x:v>
      </x:c>
      <x:c r="G23" s="16" t="n">
        <x:f>SUM(G17:G22)</x:f>
        <x:v>254</x:v>
      </x:c>
      <x:c r="H23" s="16" t="n">
        <x:f>SUM(H17:H22)</x:f>
        <x:v>24</x:v>
      </x:c>
      <x:c r="I23" s="16" t="n">
        <x:f>SUM(I17:I22)</x:f>
        <x:v>0</x:v>
      </x:c>
      <x:c r="J23" s="17" t="n">
        <x:f>IF(H23=0,"",I23/H23)</x:f>
        <x:v>0</x:v>
      </x:c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4" t="str">
        <x:v>Cập nhật tiến độ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7" t="str">
        <x:v>Ô vàng là phần nhập: ngày bắt đầu, tên thành viên, trạng thái và liên kết bàn giao.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7" t="str">
        <x:v>Trong Cong viec, lọc cột Chủ trì theo TV1–TV4. Đối chiếu tên tại bảng thành viên.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7" t="str">
        <x:v>Chỉ người kiểm tra chuyển sang Đã nghiệm thu sau khi sản phẩm đáp ứng tiêu chí.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7" t="str">
        <x:v>Tỷ lệ nghiệm thu = số gói đã nghiệm thu / tổng số gói; không phải phần trăm giờ đã làm.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7" t="str">
        <x:v>Hạn tính theo ngày tương đối: (tuần - 1) × 7 + ngày hạn. Thường bàn giao ngày 6, họp ngày 7.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7" t="str">
        <x:v>W3-01 hạn ngày 2; W4-03 hạn ngày 3 để kịp các công việc phụ thuộc trong cùng tuần.</x:v>
      </x:c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7" t="str">
        <x:v>Kế hoạch cố định 24 gói việc; khi thêm dòng, cần mở rộng vùng công thức tổng hợp.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6916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3" hidden="0" customWidth="1"/>
    <x:col min="2" max="2" width="8" hidden="0" customWidth="1"/>
    <x:col min="3" max="3" width="35" hidden="0" customWidth="1"/>
    <x:col min="4" max="4" width="12" hidden="0" customWidth="1"/>
    <x:col min="5" max="5" width="12" hidden="0" customWidth="1"/>
    <x:col min="6" max="6" width="28" hidden="0" customWidth="1"/>
    <x:col min="7" max="7" width="12" hidden="0" customWidth="1"/>
    <x:col min="8" max="8" width="14" hidden="0" customWidth="1"/>
    <x:col min="9" max="9" width="15" hidden="0" customWidth="1"/>
    <x:col min="10" max="10" width="36" hidden="0" customWidth="1"/>
    <x:col min="11" max="11" width="65" hidden="0" customWidth="1"/>
    <x:col min="12" max="12" width="21" hidden="0" customWidth="1"/>
    <x:col min="13" max="13" width="33" hidden="0" customWidth="1"/>
    <x:col min="14" max="14" width="3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4" t="str">
        <x:v>Công việc và sản phẩm bàn giao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7" t="str">
        <x:v>Một gói việc cho mỗi thành viên mỗi tuần. Trạng thái ban đầu là Chưa bắt đầu.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6" customHeight="1">
      <x:c r="A6" s="11" t="str">
        <x:v>Mã việc</x:v>
      </x:c>
      <x:c r="B6" s="11" t="str">
        <x:v>Tuần</x:v>
      </x:c>
      <x:c r="C6" s="11" t="str">
        <x:v>Công việc</x:v>
      </x:c>
      <x:c r="D6" s="11" t="str">
        <x:v>Chủ trì</x:v>
      </x:c>
      <x:c r="E6" s="11" t="str">
        <x:v>Kiểm tra</x:v>
      </x:c>
      <x:c r="F6" s="11" t="str">
        <x:v>Phụ thuộc</x:v>
      </x:c>
      <x:c r="G6" s="11" t="str">
        <x:v>Giờ dự kiến</x:v>
      </x:c>
      <x:c r="H6" s="11" t="str">
        <x:v>Ngày hạn trong tuần</x:v>
      </x:c>
      <x:c r="I6" s="11" t="str">
        <x:v>Hạn theo lịch</x:v>
      </x:c>
      <x:c r="J6" s="11" t="str">
        <x:v>Sản phẩm bàn giao</x:v>
      </x:c>
      <x:c r="K6" s="11" t="str">
        <x:v>Tiêu chí hoàn thành</x:v>
      </x:c>
      <x:c r="L6" s="11" t="str">
        <x:v>Trạng thái</x:v>
      </x:c>
      <x:c r="M6" s="11" t="str">
        <x:v>Liên kết bàn giao</x:v>
      </x:c>
      <x:c r="N6" s="11" t="str">
        <x:v>Vướng mắc / ghi chú</x:v>
      </x:c>
    </x:row>
    <x:row r="7" ht="82" customHeight="1">
      <x:c r="A7" s="12" t="str">
        <x:v>W1-01</x:v>
      </x:c>
      <x:c r="B7" s="23" t="n">
        <x:v>1</x:v>
      </x:c>
      <x:c r="C7" s="12" t="str">
        <x:v>Khảo sát metadata và thiết kế split</x:v>
      </x:c>
      <x:c r="D7" s="23" t="str">
        <x:v>TV1</x:v>
      </x:c>
      <x:c r="E7" s="23" t="str">
        <x:v>TV2</x:v>
      </x:c>
      <x:c r="F7" s="12" t="str"/>
      <x:c r="G7" s="23" t="n">
        <x:v>10</x:v>
      </x:c>
      <x:c r="H7" s="23" t="n">
        <x:v>6</x:v>
      </x:c>
      <x:c r="I7" s="25" t="str">
        <x:f>IF('Tong quan'!$B$4="","",'Tong quan'!$B$4+(B7-1)*7+H7-1)</x:f>
      </x:c>
      <x:c r="J7" s="12" t="str">
        <x:v>EDA, danh sách lớp và manifest v1</x:v>
      </x:c>
      <x:c r="K7" s="12" t="str">
        <x:v>Thống kê ảnh, chuỗi, địa điểm và box; xử lý nhãn không hợp lệ; chia theo địa điểm; lưu seed và kiểm tra trùng lặp.</x:v>
      </x:c>
      <x:c r="L7" s="22" t="str">
        <x:v>Chưa bắt đầu</x:v>
      </x:c>
      <x:c r="M7" s="22" t="str"/>
      <x:c r="N7" s="22" t="str"/>
    </x:row>
    <x:row r="8" ht="82" customHeight="1">
      <x:c r="A8" s="12" t="str">
        <x:v>W1-02</x:v>
      </x:c>
      <x:c r="B8" s="23" t="n">
        <x:v>1</x:v>
      </x:c>
      <x:c r="C8" s="12" t="str">
        <x:v>Xây khung đánh giá và môi trường học máy</x:v>
      </x:c>
      <x:c r="D8" s="23" t="str">
        <x:v>TV2</x:v>
      </x:c>
      <x:c r="E8" s="23" t="str">
        <x:v>TV3</x:v>
      </x:c>
      <x:c r="F8" s="12" t="str"/>
      <x:c r="G8" s="23" t="n">
        <x:v>10</x:v>
      </x:c>
      <x:c r="H8" s="23" t="n">
        <x:v>6</x:v>
      </x:c>
      <x:c r="I8" s="25" t="str">
        <x:f>IF('Tong quan'!$B$4="","",'Tong quan'!$B$4+(B8-1)*7+H8-1)</x:f>
      </x:c>
      <x:c r="J8" s="12" t="str">
        <x:v>Môi trường chạy và đề cương thí nghiệm</x:v>
      </x:c>
      <x:c r="K8" s="12" t="str">
        <x:v>Chạy thử GPU; chốt macro-F1, precision/recall; mô tả B0/B1/B2, cách chọn checkpoint và giữ kín test.</x:v>
      </x:c>
      <x:c r="L8" s="22" t="str">
        <x:v>Chưa bắt đầu</x:v>
      </x:c>
      <x:c r="M8" s="22" t="str"/>
      <x:c r="N8" s="22" t="str"/>
    </x:row>
    <x:row r="9" ht="82" customHeight="1">
      <x:c r="A9" s="12" t="str">
        <x:v>W1-03</x:v>
      </x:c>
      <x:c r="B9" s="23" t="n">
        <x:v>1</x:v>
      </x:c>
      <x:c r="C9" s="12" t="str">
        <x:v>Kiểm tra bounding box và ảnh mẫu</x:v>
      </x:c>
      <x:c r="D9" s="23" t="str">
        <x:v>TV3</x:v>
      </x:c>
      <x:c r="E9" s="23" t="str">
        <x:v>TV1</x:v>
      </x:c>
      <x:c r="F9" s="12" t="str"/>
      <x:c r="G9" s="23" t="n">
        <x:v>10</x:v>
      </x:c>
      <x:c r="H9" s="23" t="n">
        <x:v>6</x:v>
      </x:c>
      <x:c r="I9" s="25" t="str">
        <x:f>IF('Tong quan'!$B$4="","",'Tong quan'!$B$4+(B9-1)*7+H9-1)</x:f>
      </x:c>
      <x:c r="J9" s="12" t="str">
        <x:v>Notebook kiểm tra box và mẫu hợp lệ</x:v>
      </x:c>
      <x:c r="K9" s="12" t="str">
        <x:v>Xác định quy ước tọa độ; kiểm tra tối thiểu 10 ảnh mỗi lớp ứng viên nếu đủ; ghi lỗi nhãn, nhiều loài và box hỏng.</x:v>
      </x:c>
      <x:c r="L9" s="22" t="str">
        <x:v>Chưa bắt đầu</x:v>
      </x:c>
      <x:c r="M9" s="22" t="str"/>
      <x:c r="N9" s="22" t="str"/>
    </x:row>
    <x:row r="10" ht="82" customHeight="1">
      <x:c r="A10" s="12" t="str">
        <x:v>W1-04</x:v>
      </x:c>
      <x:c r="B10" s="23" t="n">
        <x:v>1</x:v>
      </x:c>
      <x:c r="C10" s="12" t="str">
        <x:v>Khởi tạo dự án và giao diện dữ liệu</x:v>
      </x:c>
      <x:c r="D10" s="23" t="str">
        <x:v>TV4</x:v>
      </x:c>
      <x:c r="E10" s="23" t="str">
        <x:v>TV2</x:v>
      </x:c>
      <x:c r="F10" s="12" t="str"/>
      <x:c r="G10" s="23" t="n">
        <x:v>10</x:v>
      </x:c>
      <x:c r="H10" s="23" t="n">
        <x:v>6</x:v>
      </x:c>
      <x:c r="I10" s="25" t="str">
        <x:f>IF('Tong quan'!$B$4="","",'Tong quan'!$B$4+(B10-1)*7+H10-1)</x:f>
      </x:c>
      <x:c r="J10" s="12" t="str">
        <x:v>Cấu trúc repo, sơ đồ luồng và mẫu đầu ra</x:v>
      </x:c>
      <x:c r="K10" s="12" t="str">
        <x:v>Có hướng dẫn môi trường, quy ước Git, JSON kết quả mẫu và lịch GPU chung; thống nhất xử lý thiếu phát hiện và ảnh lỗi.</x:v>
      </x:c>
      <x:c r="L10" s="22" t="str">
        <x:v>Chưa bắt đầu</x:v>
      </x:c>
      <x:c r="M10" s="22" t="str"/>
      <x:c r="N10" s="22" t="str"/>
    </x:row>
    <x:row r="11" ht="82" customHeight="1">
      <x:c r="A11" s="20" t="str">
        <x:v>W2-01</x:v>
      </x:c>
      <x:c r="B11" s="24" t="n">
        <x:v>2</x:v>
      </x:c>
      <x:c r="C11" s="20" t="str">
        <x:v>Tải tập con và kiểm tra chất lượng</x:v>
      </x:c>
      <x:c r="D11" s="24" t="str">
        <x:v>TV1</x:v>
      </x:c>
      <x:c r="E11" s="24" t="str">
        <x:v>TV3</x:v>
      </x:c>
      <x:c r="F11" s="20" t="str">
        <x:v>W1-01; W1-03</x:v>
      </x:c>
      <x:c r="G11" s="24" t="n">
        <x:v>12</x:v>
      </x:c>
      <x:c r="H11" s="24" t="n">
        <x:v>6</x:v>
      </x:c>
      <x:c r="I11" s="26" t="str">
        <x:f>IF('Tong quan'!$B$4="","",'Tong quan'!$B$4+(B11-1)*7+H11-1)</x:f>
      </x:c>
      <x:c r="J11" s="20" t="str">
        <x:v>Ảnh hợp lệ, manifest v2 và log tải</x:v>
      </x:c>
      <x:c r="K11" s="20" t="str">
        <x:v>Tải có tiếp tục; ghi ảnh thiếu hoặc hỏng; đối chiếu số mẫu từng split; không thay split âm thầm.</x:v>
      </x:c>
      <x:c r="L11" s="22" t="str">
        <x:v>Chưa bắt đầu</x:v>
      </x:c>
      <x:c r="M11" s="22" t="str"/>
      <x:c r="N11" s="22" t="str"/>
    </x:row>
    <x:row r="12" ht="82" customHeight="1">
      <x:c r="A12" s="20" t="str">
        <x:v>W2-02</x:v>
      </x:c>
      <x:c r="B12" s="24" t="n">
        <x:v>2</x:v>
      </x:c>
      <x:c r="C12" s="20" t="str">
        <x:v>Chạy baseline B0 trên tập thử</x:v>
      </x:c>
      <x:c r="D12" s="24" t="str">
        <x:v>TV2</x:v>
      </x:c>
      <x:c r="E12" s="24" t="str">
        <x:v>TV1</x:v>
      </x:c>
      <x:c r="F12" s="20" t="str">
        <x:v>W1-02; W1-04</x:v>
      </x:c>
      <x:c r="G12" s="24" t="n">
        <x:v>12</x:v>
      </x:c>
      <x:c r="H12" s="24" t="n">
        <x:v>6</x:v>
      </x:c>
      <x:c r="I12" s="26" t="str">
        <x:f>IF('Tong quan'!$B$4="","",'Tong quan'!$B$4+(B12-1)*7+H12-1)</x:f>
      </x:c>
      <x:c r="J12" s="20" t="str">
        <x:v>Checkpoint B0 và bảng validation</x:v>
      </x:c>
      <x:c r="K12" s="20" t="str">
        <x:v>ResNet18 đóng băng backbone, học lớp tuyến tính; lưu seed, cấu hình, log và metric. Dùng dữ liệu mẫu tuần 1 trước khi mở rộng.</x:v>
      </x:c>
      <x:c r="L12" s="22" t="str">
        <x:v>Chưa bắt đầu</x:v>
      </x:c>
      <x:c r="M12" s="22" t="str"/>
      <x:c r="N12" s="22" t="str"/>
    </x:row>
    <x:row r="13" ht="82" customHeight="1">
      <x:c r="A13" s="20" t="str">
        <x:v>W2-03</x:v>
      </x:c>
      <x:c r="B13" s="24" t="n">
        <x:v>2</x:v>
      </x:c>
      <x:c r="C13" s="20" t="str">
        <x:v>Tạo pipeline vùng cắt và bộ đọc dữ liệu</x:v>
      </x:c>
      <x:c r="D13" s="24" t="str">
        <x:v>TV3</x:v>
      </x:c>
      <x:c r="E13" s="24" t="str">
        <x:v>TV2</x:v>
      </x:c>
      <x:c r="F13" s="20" t="str">
        <x:v>W1-01; W1-03</x:v>
      </x:c>
      <x:c r="G13" s="24" t="n">
        <x:v>12</x:v>
      </x:c>
      <x:c r="H13" s="24" t="n">
        <x:v>6</x:v>
      </x:c>
      <x:c r="I13" s="26" t="str">
        <x:f>IF('Tong quan'!$B$4="","",'Tong quan'!$B$4+(B13-1)*7+H13-1)</x:f>
      </x:c>
      <x:c r="J13" s="20" t="str">
        <x:v>Script crop và manifest vùng cắt</x:v>
      </x:c>
      <x:c r="K13" s="20" t="str">
        <x:v>Mỗi crop truy ngược được ảnh gốc, box, nhãn và split; loại box lỗi; không gán nhãn toàn ảnh cho mọi box khi có nhiều loài.</x:v>
      </x:c>
      <x:c r="L13" s="22" t="str">
        <x:v>Chưa bắt đầu</x:v>
      </x:c>
      <x:c r="M13" s="22" t="str"/>
      <x:c r="N13" s="22" t="str"/>
    </x:row>
    <x:row r="14" ht="82" customHeight="1">
      <x:c r="A14" s="20" t="str">
        <x:v>W2-04</x:v>
      </x:c>
      <x:c r="B14" s="24" t="n">
        <x:v>2</x:v>
      </x:c>
      <x:c r="C14" s="20" t="str">
        <x:v>Dựng demo sơ bộ và thử detector</x:v>
      </x:c>
      <x:c r="D14" s="24" t="str">
        <x:v>TV4</x:v>
      </x:c>
      <x:c r="E14" s="24" t="str">
        <x:v>TV3</x:v>
      </x:c>
      <x:c r="F14" s="20" t="str">
        <x:v>W1-04</x:v>
      </x:c>
      <x:c r="G14" s="24" t="n">
        <x:v>10</x:v>
      </x:c>
      <x:c r="H14" s="24" t="n">
        <x:v>6</x:v>
      </x:c>
      <x:c r="I14" s="26" t="str">
        <x:f>IF('Tong quan'!$B$4="","",'Tong quan'!$B$4+(B14-1)*7+H14-1)</x:f>
      </x:c>
      <x:c r="J14" s="20" t="str">
        <x:v>Demo giao diện và adapter detector</x:v>
      </x:c>
      <x:c r="K14" s="20" t="str">
        <x:v>Nạp được ảnh, vẽ box, hiển thị kết quả mẫu; ghi rõ phiên bản MegaDetector và giới hạn đã dùng SWG khi huấn luyện.</x:v>
      </x:c>
      <x:c r="L14" s="22" t="str">
        <x:v>Chưa bắt đầu</x:v>
      </x:c>
      <x:c r="M14" s="22" t="str"/>
      <x:c r="N14" s="22" t="str"/>
    </x:row>
    <x:row r="15" ht="82" customHeight="1">
      <x:c r="A15" s="12" t="str">
        <x:v>W3-01</x:v>
      </x:c>
      <x:c r="B15" s="23" t="n">
        <x:v>3</x:v>
      </x:c>
      <x:c r="C15" s="12" t="str">
        <x:v>Khóa dữ liệu so sánh và kiểm tra chia tập</x:v>
      </x:c>
      <x:c r="D15" s="23" t="str">
        <x:v>TV1</x:v>
      </x:c>
      <x:c r="E15" s="23" t="str">
        <x:v>TV2</x:v>
      </x:c>
      <x:c r="F15" s="12" t="str">
        <x:v>W2-01; W2-03</x:v>
      </x:c>
      <x:c r="G15" s="23" t="n">
        <x:v>10</x:v>
      </x:c>
      <x:c r="H15" s="23" t="n">
        <x:v>2</x:v>
      </x:c>
      <x:c r="I15" s="25" t="str">
        <x:f>IF('Tong quan'!$B$4="","",'Tong quan'!$B$4+(B15-1)*7+H15-1)</x:f>
      </x:c>
      <x:c r="J15" s="12" t="str">
        <x:v>Manifest so sánh và bản dữ liệu v1</x:v>
      </x:c>
      <x:c r="K15" s="12" t="str">
        <x:v>B1/B2 dùng cùng ảnh đủ điều kiện, một loài xác định; không rò rỉ chuỗi hoặc địa điểm; thống kê số mẫu giữ và loại.</x:v>
      </x:c>
      <x:c r="L15" s="22" t="str">
        <x:v>Chưa bắt đầu</x:v>
      </x:c>
      <x:c r="M15" s="22" t="str"/>
      <x:c r="N15" s="22" t="str"/>
    </x:row>
    <x:row r="16" ht="82" customHeight="1">
      <x:c r="A16" s="12" t="str">
        <x:v>W3-02</x:v>
      </x:c>
      <x:c r="B16" s="23" t="n">
        <x:v>3</x:v>
      </x:c>
      <x:c r="C16" s="12" t="str">
        <x:v>Fine-tune B1 trên toàn ảnh</x:v>
      </x:c>
      <x:c r="D16" s="23" t="str">
        <x:v>TV2</x:v>
      </x:c>
      <x:c r="E16" s="23" t="str">
        <x:v>TV3</x:v>
      </x:c>
      <x:c r="F16" s="12" t="str">
        <x:v>W2-02; W2-01; W3-01</x:v>
      </x:c>
      <x:c r="G16" s="23" t="n">
        <x:v>12</x:v>
      </x:c>
      <x:c r="H16" s="23" t="n">
        <x:v>6</x:v>
      </x:c>
      <x:c r="I16" s="25" t="str">
        <x:f>IF('Tong quan'!$B$4="","",'Tong quan'!$B$4+(B16-1)*7+H16-1)</x:f>
      </x:c>
      <x:c r="J16" s="12" t="str">
        <x:v>Checkpoint B1, cấu hình và validation</x:v>
      </x:c>
      <x:c r="K16" s="12" t="str">
        <x:v>Chỉ chạy chính thức sau khi W3-01 khóa manifest; chọn checkpoint bằng validation, ghi thời gian và bộ nhớ GPU.</x:v>
      </x:c>
      <x:c r="L16" s="22" t="str">
        <x:v>Chưa bắt đầu</x:v>
      </x:c>
      <x:c r="M16" s="22" t="str"/>
      <x:c r="N16" s="22" t="str"/>
    </x:row>
    <x:row r="17" ht="82" customHeight="1">
      <x:c r="A17" s="12" t="str">
        <x:v>W3-03</x:v>
      </x:c>
      <x:c r="B17" s="23" t="n">
        <x:v>3</x:v>
      </x:c>
      <x:c r="C17" s="12" t="str">
        <x:v>Fine-tune B2 trên vùng cắt</x:v>
      </x:c>
      <x:c r="D17" s="23" t="str">
        <x:v>TV3</x:v>
      </x:c>
      <x:c r="E17" s="23" t="str">
        <x:v>TV2</x:v>
      </x:c>
      <x:c r="F17" s="12" t="str">
        <x:v>W2-03; W2-01; W3-01</x:v>
      </x:c>
      <x:c r="G17" s="23" t="n">
        <x:v>12</x:v>
      </x:c>
      <x:c r="H17" s="23" t="n">
        <x:v>6</x:v>
      </x:c>
      <x:c r="I17" s="25" t="str">
        <x:f>IF('Tong quan'!$B$4="","",'Tong quan'!$B$4+(B17-1)*7+H17-1)</x:f>
      </x:c>
      <x:c r="J17" s="12" t="str">
        <x:v>Checkpoint B2, cấu hình và validation</x:v>
      </x:c>
      <x:c r="K17" s="12" t="str">
        <x:v>Chỉ chạy chính thức sau khi W3-01 khóa manifest; dùng cùng ảnh và ngân sách với B1; lưu bảng so sánh validation.</x:v>
      </x:c>
      <x:c r="L17" s="22" t="str">
        <x:v>Chưa bắt đầu</x:v>
      </x:c>
      <x:c r="M17" s="22" t="str"/>
      <x:c r="N17" s="22" t="str"/>
    </x:row>
    <x:row r="18" ht="82" customHeight="1">
      <x:c r="A18" s="12" t="str">
        <x:v>W3-04</x:v>
      </x:c>
      <x:c r="B18" s="23" t="n">
        <x:v>3</x:v>
      </x:c>
      <x:c r="C18" s="12" t="str">
        <x:v>Kết nối bộ phân loại vào ứng dụng</x:v>
      </x:c>
      <x:c r="D18" s="23" t="str">
        <x:v>TV4</x:v>
      </x:c>
      <x:c r="E18" s="23" t="str">
        <x:v>TV1</x:v>
      </x:c>
      <x:c r="F18" s="12" t="str">
        <x:v>W2-04; W2-02</x:v>
      </x:c>
      <x:c r="G18" s="23" t="n">
        <x:v>10</x:v>
      </x:c>
      <x:c r="H18" s="23" t="n">
        <x:v>6</x:v>
      </x:c>
      <x:c r="I18" s="25" t="str">
        <x:f>IF('Tong quan'!$B$4="","",'Tong quan'!$B$4+(B18-1)*7+H18-1)</x:f>
      </x:c>
      <x:c r="J18" s="12" t="str">
        <x:v>Luồng suy luận và cache mô hình</x:v>
      </x:c>
      <x:c r="K18" s="12" t="str">
        <x:v>Chạy được bằng B0 trước, thay B1/B2 khi có checkpoint; hỗ trợ nhiều box, top 3 và điểm dự đoán; không gọi điểm số là xác suất đã hiệu chỉnh.</x:v>
      </x:c>
      <x:c r="L18" s="22" t="str">
        <x:v>Chưa bắt đầu</x:v>
      </x:c>
      <x:c r="M18" s="22" t="str"/>
      <x:c r="N18" s="22" t="str"/>
    </x:row>
    <x:row r="19" ht="82" customHeight="1">
      <x:c r="A19" s="20" t="str">
        <x:v>W4-01</x:v>
      </x:c>
      <x:c r="B19" s="24" t="n">
        <x:v>4</x:v>
      </x:c>
      <x:c r="C19" s="20" t="str">
        <x:v>Kiểm kê test và phân tích lỗi dữ liệu</x:v>
      </x:c>
      <x:c r="D19" s="24" t="str">
        <x:v>TV1</x:v>
      </x:c>
      <x:c r="E19" s="24" t="str">
        <x:v>TV3</x:v>
      </x:c>
      <x:c r="F19" s="20" t="str">
        <x:v>W3-01; W3-02; W3-03</x:v>
      </x:c>
      <x:c r="G19" s="24" t="n">
        <x:v>10</x:v>
      </x:c>
      <x:c r="H19" s="24" t="n">
        <x:v>6</x:v>
      </x:c>
      <x:c r="I19" s="26" t="str">
        <x:f>IF('Tong quan'!$B$4="","",'Tong quan'!$B$4+(B19-1)*7+H19-1)</x:f>
      </x:c>
      <x:c r="J19" s="20" t="str">
        <x:v>Báo cáo phân bố test và bộ ví dụ lỗi</x:v>
      </x:c>
      <x:c r="K19" s="20" t="str">
        <x:v>Sau khi khóa mô hình, thống kê mẫu/chuỗi từng lớp; không sửa nhãn chỉ để tăng điểm; mô tả giới hạn lớp ít mẫu.</x:v>
      </x:c>
      <x:c r="L19" s="22" t="str">
        <x:v>Chưa bắt đầu</x:v>
      </x:c>
      <x:c r="M19" s="22" t="str"/>
      <x:c r="N19" s="22" t="str"/>
    </x:row>
    <x:row r="20" ht="82" customHeight="1">
      <x:c r="A20" s="20" t="str">
        <x:v>W4-02</x:v>
      </x:c>
      <x:c r="B20" s="24" t="n">
        <x:v>4</x:v>
      </x:c>
      <x:c r="C20" s="20" t="str">
        <x:v>Khóa đánh giá và tổng hợp kết quả test</x:v>
      </x:c>
      <x:c r="D20" s="24" t="str">
        <x:v>TV2</x:v>
      </x:c>
      <x:c r="E20" s="24" t="str">
        <x:v>TV1</x:v>
      </x:c>
      <x:c r="F20" s="20" t="str">
        <x:v>W3-02; W3-03; W4-03</x:v>
      </x:c>
      <x:c r="G20" s="24" t="n">
        <x:v>12</x:v>
      </x:c>
      <x:c r="H20" s="24" t="n">
        <x:v>6</x:v>
      </x:c>
      <x:c r="I20" s="26" t="str">
        <x:f>IF('Tong quan'!$B$4="","",'Tong quan'!$B$4+(B20-1)*7+H20-1)</x:f>
      </x:c>
      <x:c r="J20" s="20" t="str">
        <x:v>Bảng metric test và confusion matrix</x:v>
      </x:c>
      <x:c r="K20" s="20" t="str">
        <x:v>Chờ quyết định B3 ngày 3; chốt mô hình/ngưỡng bằng validation; tính macro-F1, precision/recall và accuracy; không tối ưu bằng test.</x:v>
      </x:c>
      <x:c r="L20" s="22" t="str">
        <x:v>Chưa bắt đầu</x:v>
      </x:c>
      <x:c r="M20" s="22" t="str"/>
      <x:c r="N20" s="22" t="str"/>
    </x:row>
    <x:row r="21" ht="82" customHeight="1">
      <x:c r="A21" s="20" t="str">
        <x:v>W4-03</x:v>
      </x:c>
      <x:c r="B21" s="24" t="n">
        <x:v>4</x:v>
      </x:c>
      <x:c r="C21" s="20" t="str">
        <x:v>Thử trọng số lớp và chốt bộ phân loại</x:v>
      </x:c>
      <x:c r="D21" s="24" t="str">
        <x:v>TV3</x:v>
      </x:c>
      <x:c r="E21" s="24" t="str">
        <x:v>TV2</x:v>
      </x:c>
      <x:c r="F21" s="20" t="str">
        <x:v>W3-03</x:v>
      </x:c>
      <x:c r="G21" s="24" t="n">
        <x:v>10</x:v>
      </x:c>
      <x:c r="H21" s="24" t="n">
        <x:v>3</x:v>
      </x:c>
      <x:c r="I21" s="26" t="str">
        <x:f>IF('Tong quan'!$B$4="","",'Tong quan'!$B$4+(B21-1)*7+H21-1)</x:f>
      </x:c>
      <x:c r="J21" s="20" t="str">
        <x:v>Quyết định B3 hoặc giữ B2</x:v>
      </x:c>
      <x:c r="K21" s="20" t="str">
        <x:v>B3 là tùy chọn; quyết định chậm nhất ngày 3 bằng validation; lưu lý do, checkpoint và giới hạn. Nếu bỏ B3, dành giờ cho phân tích lỗi.</x:v>
      </x:c>
      <x:c r="L21" s="22" t="str">
        <x:v>Chưa bắt đầu</x:v>
      </x:c>
      <x:c r="M21" s="22" t="str"/>
      <x:c r="N21" s="22" t="str"/>
    </x:row>
    <x:row r="22" ht="82" customHeight="1">
      <x:c r="A22" s="20" t="str">
        <x:v>W4-04</x:v>
      </x:c>
      <x:c r="B22" s="24" t="n">
        <x:v>4</x:v>
      </x:c>
      <x:c r="C22" s="20" t="str">
        <x:v>Bổ sung duyệt lại và đo tốc độ demo</x:v>
      </x:c>
      <x:c r="D22" s="24" t="str">
        <x:v>TV4</x:v>
      </x:c>
      <x:c r="E22" s="24" t="str">
        <x:v>TV2</x:v>
      </x:c>
      <x:c r="F22" s="20" t="str">
        <x:v>W3-04</x:v>
      </x:c>
      <x:c r="G22" s="24" t="n">
        <x:v>10</x:v>
      </x:c>
      <x:c r="H22" s="24" t="n">
        <x:v>6</x:v>
      </x:c>
      <x:c r="I22" s="26" t="str">
        <x:f>IF('Tong quan'!$B$4="","",'Tong quan'!$B$4+(B22-1)*7+H22-1)</x:f>
      </x:c>
      <x:c r="J22" s="20" t="str">
        <x:v>Màn hình sửa nhãn và log suy luận</x:v>
      </x:c>
      <x:c r="K22" s="20" t="str">
        <x:v>Điểm thấp được chuyển cần kiểm tra; không kết luận loài lạ; đo tốc độ với cấu hình máy và cỡ lô rõ ràng; ghi cả trường hợp detector bỏ sót.</x:v>
      </x:c>
      <x:c r="L22" s="22" t="str">
        <x:v>Chưa bắt đầu</x:v>
      </x:c>
      <x:c r="M22" s="22" t="str"/>
      <x:c r="N22" s="22" t="str"/>
    </x:row>
    <x:row r="23" ht="82" customHeight="1">
      <x:c r="A23" s="12" t="str">
        <x:v>W5-01</x:v>
      </x:c>
      <x:c r="B23" s="23" t="n">
        <x:v>5</x:v>
      </x:c>
      <x:c r="C23" s="12" t="str">
        <x:v>Viết phần dữ liệu và tổng hợp báo cáo</x:v>
      </x:c>
      <x:c r="D23" s="23" t="str">
        <x:v>TV1</x:v>
      </x:c>
      <x:c r="E23" s="23" t="str">
        <x:v>TV2</x:v>
      </x:c>
      <x:c r="F23" s="12" t="str">
        <x:v>W4-01</x:v>
      </x:c>
      <x:c r="G23" s="23" t="n">
        <x:v>10</x:v>
      </x:c>
      <x:c r="H23" s="23" t="n">
        <x:v>6</x:v>
      </x:c>
      <x:c r="I23" s="25" t="str">
        <x:f>IF('Tong quan'!$B$4="","",'Tong quan'!$B$4+(B23-1)*7+H23-1)</x:f>
      </x:c>
      <x:c r="J23" s="12" t="str">
        <x:v>Báo cáo bản đầy đủ lần 1</x:v>
      </x:c>
      <x:c r="K23" s="12" t="str">
        <x:v>Có phạm vi, lựa chọn loài, chia tập, nguồn và giấy phép; đối chiếu số liệu với bảng metric; mỗi thành viên viết phần phụ trách.</x:v>
      </x:c>
      <x:c r="L23" s="22" t="str">
        <x:v>Chưa bắt đầu</x:v>
      </x:c>
      <x:c r="M23" s="22" t="str"/>
      <x:c r="N23" s="22" t="str"/>
    </x:row>
    <x:row r="24" ht="82" customHeight="1">
      <x:c r="A24" s="12" t="str">
        <x:v>W5-02</x:v>
      </x:c>
      <x:c r="B24" s="23" t="n">
        <x:v>5</x:v>
      </x:c>
      <x:c r="C24" s="12" t="str">
        <x:v>Viết kết quả và kiểm tra suy luận</x:v>
      </x:c>
      <x:c r="D24" s="23" t="str">
        <x:v>TV2</x:v>
      </x:c>
      <x:c r="E24" s="23" t="str">
        <x:v>TV3</x:v>
      </x:c>
      <x:c r="F24" s="12" t="str">
        <x:v>W4-02</x:v>
      </x:c>
      <x:c r="G24" s="23" t="n">
        <x:v>10</x:v>
      </x:c>
      <x:c r="H24" s="23" t="n">
        <x:v>6</x:v>
      </x:c>
      <x:c r="I24" s="25" t="str">
        <x:f>IF('Tong quan'!$B$4="","",'Tong quan'!$B$4+(B24-1)*7+H24-1)</x:f>
      </x:c>
      <x:c r="J24" s="12" t="str">
        <x:v>Phần thực nghiệm và checklist đánh giá</x:v>
      </x:c>
      <x:c r="K24" s="12" t="str">
        <x:v>Tách phân loại trên box chuẩn với demo end-to-end; nêu trùng dữ liệu của detector; kiểm tra metric và diễn giải không vượt bằng chứng.</x:v>
      </x:c>
      <x:c r="L24" s="22" t="str">
        <x:v>Chưa bắt đầu</x:v>
      </x:c>
      <x:c r="M24" s="22" t="str"/>
      <x:c r="N24" s="22" t="str"/>
    </x:row>
    <x:row r="25" ht="82" customHeight="1">
      <x:c r="A25" s="12" t="str">
        <x:v>W5-03</x:v>
      </x:c>
      <x:c r="B25" s="23" t="n">
        <x:v>5</x:v>
      </x:c>
      <x:c r="C25" s="12" t="str">
        <x:v>Đóng gói mô hình và viết phương pháp</x:v>
      </x:c>
      <x:c r="D25" s="23" t="str">
        <x:v>TV3</x:v>
      </x:c>
      <x:c r="E25" s="23" t="str">
        <x:v>TV1</x:v>
      </x:c>
      <x:c r="F25" s="12" t="str">
        <x:v>W4-03</x:v>
      </x:c>
      <x:c r="G25" s="23" t="n">
        <x:v>10</x:v>
      </x:c>
      <x:c r="H25" s="23" t="n">
        <x:v>6</x:v>
      </x:c>
      <x:c r="I25" s="25" t="str">
        <x:f>IF('Tong quan'!$B$4="","",'Tong quan'!$B$4+(B25-1)*7+H25-1)</x:f>
      </x:c>
      <x:c r="J25" s="12" t="str">
        <x:v>Model card, checkpoint và phần phương pháp</x:v>
      </x:c>
      <x:c r="K25" s="12" t="str">
        <x:v>Có ánh xạ nhãn, preprocessing, cấu hình, seed, giới hạn và nguồn pretrained; nạp lại mô hình cho cùng kết quả trong dung sai đã ghi.</x:v>
      </x:c>
      <x:c r="L25" s="22" t="str">
        <x:v>Chưa bắt đầu</x:v>
      </x:c>
      <x:c r="M25" s="22" t="str"/>
      <x:c r="N25" s="22" t="str"/>
    </x:row>
    <x:row r="26" ht="82" customHeight="1">
      <x:c r="A26" s="12" t="str">
        <x:v>W5-04</x:v>
      </x:c>
      <x:c r="B26" s="23" t="n">
        <x:v>5</x:v>
      </x:c>
      <x:c r="C26" s="12" t="str">
        <x:v>Hoàn thiện xử lý theo lô và xuất CSV</x:v>
      </x:c>
      <x:c r="D26" s="23" t="str">
        <x:v>TV4</x:v>
      </x:c>
      <x:c r="E26" s="23" t="str">
        <x:v>TV2</x:v>
      </x:c>
      <x:c r="F26" s="12" t="str">
        <x:v>W4-04</x:v>
      </x:c>
      <x:c r="G26" s="23" t="n">
        <x:v>12</x:v>
      </x:c>
      <x:c r="H26" s="23" t="n">
        <x:v>6</x:v>
      </x:c>
      <x:c r="I26" s="25" t="str">
        <x:f>IF('Tong quan'!$B$4="","",'Tong quan'!$B$4+(B26-1)*7+H26-1)</x:f>
      </x:c>
      <x:c r="J26" s="12" t="str">
        <x:v>Demo hoàn chỉnh và hướng dẫn chạy</x:v>
      </x:c>
      <x:c r="K26" s="12" t="str">
        <x:v>Luồng ảnh đơn/lô, ảnh lỗi, không phát hiện và điểm thấp đều hoạt động; sửa nhãn xuất đúng CSV; thống kê chuỗi không gọi là số cá thể.</x:v>
      </x:c>
      <x:c r="L26" s="22" t="str">
        <x:v>Chưa bắt đầu</x:v>
      </x:c>
      <x:c r="M26" s="22" t="str"/>
      <x:c r="N26" s="22" t="str"/>
    </x:row>
    <x:row r="27" ht="82" customHeight="1">
      <x:c r="A27" s="20" t="str">
        <x:v>W6-01</x:v>
      </x:c>
      <x:c r="B27" s="24" t="n">
        <x:v>6</x:v>
      </x:c>
      <x:c r="C27" s="20" t="str">
        <x:v>Chốt báo cáo và điều phối bảo vệ</x:v>
      </x:c>
      <x:c r="D27" s="24" t="str">
        <x:v>TV1</x:v>
      </x:c>
      <x:c r="E27" s="24" t="str">
        <x:v>TV4</x:v>
      </x:c>
      <x:c r="F27" s="20" t="str">
        <x:v>W5-01; W5-02; W5-03</x:v>
      </x:c>
      <x:c r="G27" s="24" t="n">
        <x:v>10</x:v>
      </x:c>
      <x:c r="H27" s="24" t="n">
        <x:v>6</x:v>
      </x:c>
      <x:c r="I27" s="26" t="str">
        <x:f>IF('Tong quan'!$B$4="","",'Tong quan'!$B$4+(B27-1)*7+H27-1)</x:f>
      </x:c>
      <x:c r="J27" s="20" t="str">
        <x:v>Báo cáo cuối và phân vai thuyết trình</x:v>
      </x:c>
      <x:c r="K27" s="20" t="str">
        <x:v>Kiểm tra nguồn, hình, số liệu, mục lục; cả nhóm duyệt nội dung; mỗi người hiểu dữ liệu, mô hình và giới hạn chính.</x:v>
      </x:c>
      <x:c r="L27" s="22" t="str">
        <x:v>Chưa bắt đầu</x:v>
      </x:c>
      <x:c r="M27" s="22" t="str"/>
      <x:c r="N27" s="22" t="str"/>
    </x:row>
    <x:row r="28" ht="82" customHeight="1">
      <x:c r="A28" s="20" t="str">
        <x:v>W6-02</x:v>
      </x:c>
      <x:c r="B28" s="24" t="n">
        <x:v>6</x:v>
      </x:c>
      <x:c r="C28" s="20" t="str">
        <x:v>Kiểm tra tái lập và chuẩn bị phản biện</x:v>
      </x:c>
      <x:c r="D28" s="24" t="str">
        <x:v>TV2</x:v>
      </x:c>
      <x:c r="E28" s="24" t="str">
        <x:v>TV1</x:v>
      </x:c>
      <x:c r="F28" s="20" t="str">
        <x:v>W5-02; W5-03; W5-04</x:v>
      </x:c>
      <x:c r="G28" s="24" t="n">
        <x:v>10</x:v>
      </x:c>
      <x:c r="H28" s="24" t="n">
        <x:v>6</x:v>
      </x:c>
      <x:c r="I28" s="26" t="str">
        <x:f>IF('Tong quan'!$B$4="","",'Tong quan'!$B$4+(B28-1)*7+H28-1)</x:f>
      </x:c>
      <x:c r="J28" s="20" t="str">
        <x:v>Biên bản chạy lại và câu hỏi đáp</x:v>
      </x:c>
      <x:c r="K28" s="20" t="str">
        <x:v>Thử môi trường sạch, nạp trọng số, chạy đánh giá mẫu; kiểm tra cách chia tập, lớp ít mẫu, baseline và nguy cơ rò rỉ dữ liệu.</x:v>
      </x:c>
      <x:c r="L28" s="22" t="str">
        <x:v>Chưa bắt đầu</x:v>
      </x:c>
      <x:c r="M28" s="22" t="str"/>
      <x:c r="N28" s="22" t="str"/>
    </x:row>
    <x:row r="29" ht="82" customHeight="1">
      <x:c r="A29" s="20" t="str">
        <x:v>W6-03</x:v>
      </x:c>
      <x:c r="B29" s="24" t="n">
        <x:v>6</x:v>
      </x:c>
      <x:c r="C29" s="20" t="str">
        <x:v>Làm slide kỹ thuật và tập bảo vệ</x:v>
      </x:c>
      <x:c r="D29" s="24" t="str">
        <x:v>TV3</x:v>
      </x:c>
      <x:c r="E29" s="24" t="str">
        <x:v>TV2</x:v>
      </x:c>
      <x:c r="F29" s="20" t="str">
        <x:v>W5-02; W5-03</x:v>
      </x:c>
      <x:c r="G29" s="24" t="n">
        <x:v>10</x:v>
      </x:c>
      <x:c r="H29" s="24" t="n">
        <x:v>6</x:v>
      </x:c>
      <x:c r="I29" s="26" t="str">
        <x:f>IF('Tong quan'!$B$4="","",'Tong quan'!$B$4+(B29-1)*7+H29-1)</x:f>
      </x:c>
      <x:c r="J29" s="20" t="str">
        <x:v>Slide và phần trình bày phương pháp</x:v>
      </x:c>
      <x:c r="K29" s="20" t="str">
        <x:v>Slide dùng đúng kết quả đã chốt; giải thích B1/B2 và lỗi điển hình; tham gia hai buổi tập bảo vệ cùng nhóm.</x:v>
      </x:c>
      <x:c r="L29" s="22" t="str">
        <x:v>Chưa bắt đầu</x:v>
      </x:c>
      <x:c r="M29" s="22" t="str"/>
      <x:c r="N29" s="22" t="str"/>
    </x:row>
    <x:row r="30" ht="82" customHeight="1">
      <x:c r="A30" s="20" t="str">
        <x:v>W6-04</x:v>
      </x:c>
      <x:c r="B30" s="24" t="n">
        <x:v>6</x:v>
      </x:c>
      <x:c r="C30" s="20" t="str">
        <x:v>Quay demo và đóng gói bản nộp</x:v>
      </x:c>
      <x:c r="D30" s="24" t="str">
        <x:v>TV4</x:v>
      </x:c>
      <x:c r="E30" s="24" t="str">
        <x:v>TV3</x:v>
      </x:c>
      <x:c r="F30" s="20" t="str">
        <x:v>W5-04; W5-03</x:v>
      </x:c>
      <x:c r="G30" s="24" t="n">
        <x:v>10</x:v>
      </x:c>
      <x:c r="H30" s="24" t="n">
        <x:v>6</x:v>
      </x:c>
      <x:c r="I30" s="26" t="str">
        <x:f>IF('Tong quan'!$B$4="","",'Tong quan'!$B$4+(B30-1)*7+H30-1)</x:f>
      </x:c>
      <x:c r="J30" s="20" t="str">
        <x:v>Video, gói nộp và bản dự phòng</x:v>
      </x:c>
      <x:c r="K30" s="20" t="str">
        <x:v>Có mã, README, cấu hình, manifest, trọng số, kết quả, báo cáo, slide và video; kiểm tra mở file và demo offline sau khi tải sẵn mô hình.</x:v>
      </x:c>
      <x:c r="L30" s="22" t="str">
        <x:v>Chưa bắt đầu</x:v>
      </x:c>
      <x:c r="M30" s="22" t="str"/>
      <x:c r="N30" s="22" t="str"/>
    </x:row>
  </x:sheetData>
  <x:conditionalFormatting sqref="L7:L30">
    <x:cfRule type="containsText" dxfId="0" priority="1" operator="containsText" text="Đã nghiệm thu"/>
    <x:cfRule type="containsText" dxfId="1" priority="2" operator="containsText" text="Cần sửa"/>
  </x:conditionalFormatting>
  <x:dataValidations count="3">
    <x:dataValidation type="list" sqref="L7:L30">
      <x:formula1>"Chưa bắt đầu,Đang làm,Chờ kiểm tra,Cần sửa,Đã nghiệm thu,Tạm dừng"</x:formula1>
    </x:dataValidation>
    <x:dataValidation type="list" sqref="D7:D30">
      <x:formula1>"TV1,TV2,TV3,TV4"</x:formula1>
    </x:dataValidation>
    <x:dataValidation type="list" sqref="E7:E30">
      <x:formula1>"TV1,TV2,TV3,TV4"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064547b86f45c7"/>
  </x:tableParts>
</x:worksheet>
</file>